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Scoring_Model" sheetId="3" state="visible" r:id="rId3"/>
    <sheet xmlns:r="http://schemas.openxmlformats.org/officeDocument/2006/relationships" name="Macro_Geopolitica" sheetId="4" state="visible" r:id="rId4"/>
    <sheet xmlns:r="http://schemas.openxmlformats.org/officeDocument/2006/relationships" name="ETF_Master" sheetId="5" state="visible" r:id="rId5"/>
    <sheet xmlns:r="http://schemas.openxmlformats.org/officeDocument/2006/relationships" name="Daily_Report" sheetId="6" state="visible" r:id="rId6"/>
    <sheet xmlns:r="http://schemas.openxmlformats.org/officeDocument/2006/relationships" name="Sources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00FFFFFF"/>
      <sz val="16"/>
    </font>
    <font>
      <name val="Carlito"/>
      <b val="1"/>
      <color rgb="00FFFFFF"/>
      <sz val="11"/>
    </font>
    <font>
      <name val="Carlito"/>
      <i val="1"/>
      <color rgb="00374151"/>
      <sz val="11"/>
    </font>
    <font>
      <name val="Carlito"/>
      <b val="1"/>
      <color rgb="00000000"/>
      <sz val="11"/>
    </font>
    <font>
      <name val="Carlito"/>
      <color rgb="000000FF"/>
      <sz val="11"/>
    </font>
    <font>
      <name val="Carlito"/>
      <color rgb="00000000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F4E79"/>
      </patternFill>
    </fill>
    <fill>
      <patternFill patternType="solid">
        <fgColor rgb="00F3F4F6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3">
    <border/>
    <border/>
    <border>
      <left style="thin"/>
      <right style="thin"/>
      <top style="thin"/>
      <bottom style="thin"/>
    </border>
  </borders>
  <cellStyleXfs count="1">
    <xf numFmtId="0" fontId="0" fillId="0" borderId="1"/>
  </cellStyleXfs>
  <cellXfs count="7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left"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horizontal="center" wrapText="1"/>
    </xf>
    <xf numFmtId="0" fontId="4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4" fillId="5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2" fillId="3" borderId="1" applyAlignment="1" pivotButton="0" quotePrefix="0" xfId="0">
      <alignment horizontal="left" vertical="center" wrapText="1"/>
    </xf>
    <xf numFmtId="9" fontId="0" fillId="0" borderId="0" pivotButton="0" quotePrefix="0" xfId="0"/>
    <xf numFmtId="9" fontId="0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10" fontId="0" fillId="0" borderId="0" pivotButton="0" quotePrefix="0" xfId="0"/>
    <xf numFmtId="10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0" fontId="0" fillId="6" borderId="0" pivotButton="0" quotePrefix="0" xfId="0"/>
    <xf numFmtId="0" fontId="5" fillId="6" borderId="0" pivotButton="0" quotePrefix="0" xfId="0"/>
    <xf numFmtId="0" fontId="0" fillId="6" borderId="1" pivotButton="0" quotePrefix="0" xfId="0"/>
    <xf numFmtId="0" fontId="5" fillId="6" borderId="1" pivotButton="0" quotePrefix="0" xfId="0"/>
    <xf numFmtId="164" fontId="5" fillId="6" borderId="0" pivotButton="0" quotePrefix="0" xfId="0"/>
    <xf numFmtId="164" fontId="5" fillId="6" borderId="1" pivotButton="0" quotePrefix="0" xfId="0"/>
    <xf numFmtId="10" fontId="0" fillId="6" borderId="0" pivotButton="0" quotePrefix="0" xfId="0"/>
    <xf numFmtId="10" fontId="5" fillId="6" borderId="0" pivotButton="0" quotePrefix="0" xfId="0"/>
    <xf numFmtId="10" fontId="0" fillId="6" borderId="1" pivotButton="0" quotePrefix="0" xfId="0"/>
    <xf numFmtId="10" fontId="5" fillId="6" borderId="1" pivotButton="0" quotePrefix="0" xfId="0"/>
    <xf numFmtId="164" fontId="0" fillId="6" borderId="0" pivotButton="0" quotePrefix="0" xfId="0"/>
    <xf numFmtId="164" fontId="0" fillId="6" borderId="1" pivotButton="0" quotePrefix="0" xfId="0"/>
    <xf numFmtId="1" fontId="0" fillId="6" borderId="0" pivotButton="0" quotePrefix="0" xfId="0"/>
    <xf numFmtId="1" fontId="5" fillId="6" borderId="0" pivotButton="0" quotePrefix="0" xfId="0"/>
    <xf numFmtId="1" fontId="0" fillId="6" borderId="1" pivotButton="0" quotePrefix="0" xfId="0"/>
    <xf numFmtId="1" fontId="5" fillId="6" borderId="1" pivotButton="0" quotePrefix="0" xfId="0"/>
    <xf numFmtId="0" fontId="6" fillId="0" borderId="0" pivotButton="0" quotePrefix="0" xfId="0"/>
    <xf numFmtId="0" fontId="6" fillId="0" borderId="1" pivotButton="0" quotePrefix="0" xfId="0"/>
    <xf numFmtId="1" fontId="6" fillId="0" borderId="0" pivotButton="0" quotePrefix="0" xfId="0"/>
    <xf numFmtId="1" fontId="6" fillId="0" borderId="1" pivotButton="0" quotePrefix="0" xfId="0"/>
    <xf numFmtId="9" fontId="0" fillId="0" borderId="0" pivotButton="0" quotePrefix="0" xfId="0"/>
    <xf numFmtId="1" fontId="0" fillId="0" borderId="0" pivotButton="0" quotePrefix="0" xfId="0"/>
    <xf numFmtId="0" fontId="7" fillId="5" borderId="0" applyAlignment="1" pivotButton="0" quotePrefix="0" xfId="0">
      <alignment horizontal="center" vertical="center" wrapText="1"/>
    </xf>
    <xf numFmtId="10" fontId="5" fillId="6" borderId="0" pivotButton="0" quotePrefix="0" xfId="0"/>
    <xf numFmtId="164" fontId="5" fillId="6" borderId="0" pivotButton="0" quotePrefix="0" xfId="0"/>
    <xf numFmtId="1" fontId="5" fillId="6" borderId="0" pivotButton="0" quotePrefix="0" xfId="0"/>
    <xf numFmtId="1" fontId="6" fillId="0" borderId="0" pivotButton="0" quotePrefix="0" xfId="0"/>
    <xf numFmtId="0" fontId="7" fillId="0" borderId="2" applyAlignment="1" pivotButton="0" quotePrefix="0" xfId="0">
      <alignment horizontal="center" vertical="top"/>
    </xf>
  </cellXfs>
  <cellStyles count="1">
    <cellStyle name="Normal" xfId="0"/>
  </cellStyles>
  <dxfs count="1">
    <dxf>
      <font>
        <color rgb="00DC2626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37" t="inlineStr">
        <is>
          <t>ETF Intelligence Agent - Master Template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35" t="n"/>
      <c r="B2" s="35" t="n"/>
      <c r="C2" s="35" t="n"/>
      <c r="D2" s="35" t="n"/>
      <c r="E2" s="35" t="n"/>
      <c r="F2" s="35" t="n"/>
      <c r="G2" s="35" t="n"/>
      <c r="H2" s="35" t="n"/>
    </row>
    <row r="3">
      <c r="A3" s="39" t="inlineStr">
        <is>
          <t>Obiettivo</t>
        </is>
      </c>
      <c r="B3" s="1" t="n"/>
      <c r="C3" s="1" t="n"/>
      <c r="D3" s="1" t="n"/>
      <c r="E3" s="1" t="n"/>
      <c r="F3" s="1" t="n"/>
      <c r="G3" s="1" t="n"/>
      <c r="H3" s="1" t="n"/>
    </row>
    <row r="4">
      <c r="A4" s="23" t="inlineStr">
        <is>
          <t>Questo file definisce la struttura dati, le categorie, il modello di scoring e il report giornaliero per un agente che analizza ETF quotati su Borsa Italiana/ETFplus. Non fornisce consulenza finanziaria personalizzata: produce shortlist e segnali da valutare.</t>
        </is>
      </c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35" t="n"/>
      <c r="B7" s="35" t="n"/>
      <c r="C7" s="35" t="n"/>
      <c r="D7" s="35" t="n"/>
      <c r="E7" s="35" t="n"/>
      <c r="F7" s="35" t="n"/>
      <c r="G7" s="35" t="n"/>
      <c r="H7" s="35" t="n"/>
    </row>
    <row r="8">
      <c r="A8" s="28" t="inlineStr">
        <is>
          <t>Fogli</t>
        </is>
      </c>
      <c r="B8" s="28" t="inlineStr">
        <is>
          <t>Descrizione</t>
        </is>
      </c>
      <c r="C8" s="35" t="n"/>
      <c r="D8" s="35" t="n"/>
      <c r="E8" s="35" t="n"/>
      <c r="F8" s="35" t="n"/>
      <c r="G8" s="35" t="n"/>
      <c r="H8" s="35" t="n"/>
    </row>
    <row r="9">
      <c r="A9" s="35" t="inlineStr">
        <is>
          <t>ETF_Master</t>
        </is>
      </c>
      <c r="B9" s="35" t="inlineStr">
        <is>
          <t>Database principale ETF, metriche e punteggi</t>
        </is>
      </c>
      <c r="C9" s="35" t="n"/>
      <c r="D9" s="35" t="n"/>
      <c r="E9" s="35" t="n"/>
      <c r="F9" s="35" t="n"/>
      <c r="G9" s="35" t="n"/>
      <c r="H9" s="35" t="n"/>
    </row>
    <row r="10">
      <c r="A10" s="35" t="inlineStr">
        <is>
          <t>Scoring_Model</t>
        </is>
      </c>
      <c r="B10" s="35" t="inlineStr">
        <is>
          <t>Pesi e regole del modello</t>
        </is>
      </c>
      <c r="C10" s="35" t="n"/>
      <c r="D10" s="35" t="n"/>
      <c r="E10" s="35" t="n"/>
      <c r="F10" s="35" t="n"/>
      <c r="G10" s="35" t="n"/>
      <c r="H10" s="35" t="n"/>
    </row>
    <row r="11">
      <c r="A11" s="35" t="inlineStr">
        <is>
          <t>Macro_Geopolitica</t>
        </is>
      </c>
      <c r="B11" s="35" t="inlineStr">
        <is>
          <t>Valutazione scenario macro/geopolitico</t>
        </is>
      </c>
      <c r="C11" s="35" t="n"/>
      <c r="D11" s="35" t="n"/>
      <c r="E11" s="35" t="n"/>
      <c r="F11" s="35" t="n"/>
      <c r="G11" s="35" t="n"/>
      <c r="H11" s="35" t="n"/>
    </row>
    <row r="12">
      <c r="A12" s="35" t="inlineStr">
        <is>
          <t>Daily_Report</t>
        </is>
      </c>
      <c r="B12" s="35" t="inlineStr">
        <is>
          <t>Template del report giornaliero</t>
        </is>
      </c>
      <c r="C12" s="35" t="n"/>
      <c r="D12" s="35" t="n"/>
      <c r="E12" s="35" t="n"/>
      <c r="F12" s="35" t="n"/>
      <c r="G12" s="35" t="n"/>
      <c r="H12" s="35" t="n"/>
    </row>
    <row r="13">
      <c r="A13" s="35" t="inlineStr">
        <is>
          <t>Sources</t>
        </is>
      </c>
      <c r="B13" s="35" t="inlineStr">
        <is>
          <t>Fonti dati da usare</t>
        </is>
      </c>
      <c r="C13" s="35" t="n"/>
      <c r="D13" s="35" t="n"/>
      <c r="E13" s="35" t="n"/>
      <c r="F13" s="35" t="n"/>
      <c r="G13" s="35" t="n"/>
      <c r="H13" s="35" t="n"/>
    </row>
    <row r="14">
      <c r="A14" s="35" t="inlineStr">
        <is>
          <t>Lists</t>
        </is>
      </c>
      <c r="B14" s="35" t="inlineStr">
        <is>
          <t>Liste per menu a tendina</t>
        </is>
      </c>
      <c r="C14" s="35" t="n"/>
      <c r="D14" s="35" t="n"/>
      <c r="E14" s="35" t="n"/>
      <c r="F14" s="35" t="n"/>
      <c r="G14" s="35" t="n"/>
      <c r="H14" s="35" t="n"/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</row>
    <row r="16">
      <c r="A16" s="35" t="n"/>
      <c r="B16" s="35" t="n"/>
      <c r="C16" s="35" t="n"/>
      <c r="D16" s="35" t="n"/>
      <c r="E16" s="35" t="n"/>
      <c r="F16" s="35" t="n"/>
      <c r="G16" s="35" t="n"/>
      <c r="H16" s="35" t="n"/>
    </row>
    <row r="17">
      <c r="A17" s="35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35" t="n"/>
      <c r="B18" s="35" t="n"/>
      <c r="C18" s="35" t="n"/>
      <c r="D18" s="35" t="n"/>
      <c r="E18" s="35" t="n"/>
      <c r="F18" s="35" t="n"/>
      <c r="G18" s="35" t="n"/>
      <c r="H18" s="35" t="n"/>
    </row>
    <row r="19">
      <c r="A19" s="35" t="n"/>
      <c r="B19" s="35" t="n"/>
      <c r="C19" s="35" t="n"/>
      <c r="D19" s="35" t="n"/>
      <c r="E19" s="35" t="n"/>
      <c r="F19" s="35" t="n"/>
      <c r="G19" s="35" t="n"/>
      <c r="H19" s="35" t="n"/>
    </row>
    <row r="20">
      <c r="A20" s="35" t="n"/>
      <c r="B20" s="35" t="n"/>
      <c r="C20" s="35" t="n"/>
      <c r="D20" s="35" t="n"/>
      <c r="E20" s="35" t="n"/>
      <c r="F20" s="35" t="n"/>
      <c r="G20" s="35" t="n"/>
      <c r="H20" s="35" t="n"/>
    </row>
  </sheetData>
  <mergeCells count="3">
    <mergeCell ref="A1:H1"/>
    <mergeCell ref="A3:H3"/>
    <mergeCell ref="A4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8" t="inlineStr">
        <is>
          <t>Categoria</t>
        </is>
      </c>
      <c r="B1" s="28" t="inlineStr">
        <is>
          <t>Stato</t>
        </is>
      </c>
      <c r="C1" s="28" t="inlineStr">
        <is>
          <t>Classe Asset</t>
        </is>
      </c>
      <c r="D1" s="28" t="inlineStr">
        <is>
          <t>Replica</t>
        </is>
      </c>
      <c r="E1" s="28" t="inlineStr">
        <is>
          <t>Distribuzione</t>
        </is>
      </c>
      <c r="F1" s="28" t="inlineStr">
        <is>
          <t>Rischio Tema</t>
        </is>
      </c>
      <c r="G1" s="28" t="inlineStr">
        <is>
          <t>Macro Bias</t>
        </is>
      </c>
    </row>
    <row r="2">
      <c r="A2" t="inlineStr">
        <is>
          <t>Core</t>
        </is>
      </c>
      <c r="B2" t="inlineStr">
        <is>
          <t>Buy Watchlist</t>
        </is>
      </c>
      <c r="C2" t="inlineStr">
        <is>
          <t>Equity</t>
        </is>
      </c>
      <c r="D2" t="inlineStr">
        <is>
          <t>Fisica</t>
        </is>
      </c>
      <c r="E2" t="inlineStr">
        <is>
          <t>Accumulazione</t>
        </is>
      </c>
      <c r="F2" t="inlineStr">
        <is>
          <t>Basso</t>
        </is>
      </c>
      <c r="G2" t="inlineStr">
        <is>
          <t>Favorevole</t>
        </is>
      </c>
    </row>
    <row r="3">
      <c r="A3" t="inlineStr">
        <is>
          <t>Thematic Growth</t>
        </is>
      </c>
      <c r="B3" t="inlineStr">
        <is>
          <t>Accumulate Carefully</t>
        </is>
      </c>
      <c r="C3" t="inlineStr">
        <is>
          <t>Bond</t>
        </is>
      </c>
      <c r="D3" t="inlineStr">
        <is>
          <t>Sintetica</t>
        </is>
      </c>
      <c r="E3" t="inlineStr">
        <is>
          <t>Distribuzione</t>
        </is>
      </c>
      <c r="F3" t="inlineStr">
        <is>
          <t>Medio</t>
        </is>
      </c>
      <c r="G3" t="inlineStr">
        <is>
          <t>Neutrale</t>
        </is>
      </c>
    </row>
    <row r="4">
      <c r="A4" t="inlineStr">
        <is>
          <t>Defensive</t>
        </is>
      </c>
      <c r="B4" t="inlineStr">
        <is>
          <t>Hold / Monitor</t>
        </is>
      </c>
      <c r="C4" t="inlineStr">
        <is>
          <t>Commodity</t>
        </is>
      </c>
      <c r="D4" t="inlineStr">
        <is>
          <t>Campionamento</t>
        </is>
      </c>
      <c r="E4" t="inlineStr">
        <is>
          <t>N/A</t>
        </is>
      </c>
      <c r="F4" t="inlineStr">
        <is>
          <t>Alto</t>
        </is>
      </c>
      <c r="G4" t="inlineStr">
        <is>
          <t>Sfavorevole</t>
        </is>
      </c>
    </row>
    <row r="5">
      <c r="A5" t="inlineStr">
        <is>
          <t>Factor</t>
        </is>
      </c>
      <c r="B5" t="inlineStr">
        <is>
          <t>Avoid for Now</t>
        </is>
      </c>
      <c r="C5" t="inlineStr">
        <is>
          <t>Money Market</t>
        </is>
      </c>
      <c r="D5" t="inlineStr">
        <is>
          <t>N/A</t>
        </is>
      </c>
      <c r="F5" t="inlineStr">
        <is>
          <t>Molto alto</t>
        </is>
      </c>
    </row>
    <row r="6">
      <c r="A6" t="inlineStr">
        <is>
          <t>Geographic/Satellite</t>
        </is>
      </c>
      <c r="B6" t="inlineStr">
        <is>
          <t>Speculative Only</t>
        </is>
      </c>
      <c r="C6" t="inlineStr">
        <is>
          <t>Mixed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9" t="inlineStr">
        <is>
          <t>Modello di scoring ETF</t>
        </is>
      </c>
      <c r="B1" s="1" t="n"/>
      <c r="C1" s="1" t="n"/>
      <c r="D1" s="1" t="n"/>
      <c r="E1" s="1" t="n"/>
      <c r="F1" s="1" t="n"/>
    </row>
    <row r="3">
      <c r="A3" s="28" t="inlineStr">
        <is>
          <t>Area</t>
        </is>
      </c>
      <c r="B3" s="28" t="inlineStr">
        <is>
          <t>Peso</t>
        </is>
      </c>
      <c r="C3" s="28" t="inlineStr">
        <is>
          <t>Descrizione</t>
        </is>
      </c>
      <c r="D3" s="28" t="inlineStr">
        <is>
          <t>Input/Formula</t>
        </is>
      </c>
      <c r="E3" s="28" t="inlineStr">
        <is>
          <t>Interpretazione</t>
        </is>
      </c>
      <c r="F3" s="28" t="inlineStr">
        <is>
          <t>Note</t>
        </is>
      </c>
    </row>
    <row r="4">
      <c r="A4" t="inlineStr">
        <is>
          <t>Momentum 6/12 mesi</t>
        </is>
      </c>
      <c r="B4" s="68" t="n">
        <v>0.2</v>
      </c>
      <c r="C4" t="inlineStr">
        <is>
          <t>Forza relativa recente</t>
        </is>
      </c>
      <c r="D4" t="inlineStr">
        <is>
          <t>Ranking percentile su momentum</t>
        </is>
      </c>
      <c r="E4" t="inlineStr">
        <is>
          <t>Più alto è meglio</t>
        </is>
      </c>
      <c r="F4" t="inlineStr">
        <is>
          <t>Da Meb Faber / trend following</t>
        </is>
      </c>
    </row>
    <row r="5">
      <c r="A5" t="inlineStr">
        <is>
          <t>Rendimento storico ponderato</t>
        </is>
      </c>
      <c r="B5" s="68" t="n">
        <v>0.15</v>
      </c>
      <c r="C5" t="inlineStr">
        <is>
          <t>CAGR e performance storica pesata per lunghezza storico</t>
        </is>
      </c>
      <c r="D5" t="inlineStr">
        <is>
          <t>CAGR * affidabilità storico</t>
        </is>
      </c>
      <c r="E5" t="inlineStr">
        <is>
          <t>Più alto è meglio</t>
        </is>
      </c>
      <c r="F5" t="inlineStr">
        <is>
          <t>Non esclude ETF giovani</t>
        </is>
      </c>
    </row>
    <row r="6">
      <c r="A6" t="inlineStr">
        <is>
          <t>Rischio</t>
        </is>
      </c>
      <c r="B6" s="68" t="n">
        <v>0.2</v>
      </c>
      <c r="C6" t="inlineStr">
        <is>
          <t>Volatilità e max drawdown</t>
        </is>
      </c>
      <c r="D6" t="inlineStr">
        <is>
          <t>Punteggio rischio inverso</t>
        </is>
      </c>
      <c r="E6" t="inlineStr">
        <is>
          <t>Più basso il rischio, più alto il punteggio</t>
        </is>
      </c>
      <c r="F6" t="inlineStr">
        <is>
          <t>Marks/Taleb: preservare capitale</t>
        </is>
      </c>
    </row>
    <row r="7">
      <c r="A7" t="inlineStr">
        <is>
          <t>Qualità ETF</t>
        </is>
      </c>
      <c r="B7" s="68" t="n">
        <v>0.15</v>
      </c>
      <c r="C7" t="inlineStr">
        <is>
          <t>TER, liquidità, dimensione fondo</t>
        </is>
      </c>
      <c r="D7" t="inlineStr">
        <is>
          <t>Score qualità</t>
        </is>
      </c>
      <c r="E7" t="inlineStr">
        <is>
          <t>Più alto è meglio</t>
        </is>
      </c>
      <c r="F7" t="inlineStr">
        <is>
          <t>Bogle: costi bassi e liquidità</t>
        </is>
      </c>
    </row>
    <row r="8">
      <c r="A8" t="inlineStr">
        <is>
          <t>Forza tema</t>
        </is>
      </c>
      <c r="B8" s="68" t="n">
        <v>0.15</v>
      </c>
      <c r="C8" t="inlineStr">
        <is>
          <t>AI, semiconduttori, difesa, healthcare, ecc.</t>
        </is>
      </c>
      <c r="D8" t="inlineStr">
        <is>
          <t>Valutazione 0-100</t>
        </is>
      </c>
      <c r="E8" t="inlineStr">
        <is>
          <t>Più alto è meglio</t>
        </is>
      </c>
      <c r="F8" t="inlineStr">
        <is>
          <t>Input qualitativo aggiornabile</t>
        </is>
      </c>
    </row>
    <row r="9">
      <c r="A9" t="inlineStr">
        <is>
          <t>Macro/geopolitica</t>
        </is>
      </c>
      <c r="B9" s="68" t="n">
        <v>0.1</v>
      </c>
      <c r="C9" t="inlineStr">
        <is>
          <t>Scenario tassi, inflazione, geopolitica, ciclo</t>
        </is>
      </c>
      <c r="D9" t="inlineStr">
        <is>
          <t>Valutazione -20/+20 normalizzata</t>
        </is>
      </c>
      <c r="E9" t="inlineStr">
        <is>
          <t>Favorevole/sfavorevole</t>
        </is>
      </c>
      <c r="F9" t="inlineStr">
        <is>
          <t>Da aggiornare nel foglio Macro_Geopolitica</t>
        </is>
      </c>
    </row>
    <row r="10">
      <c r="A10" t="inlineStr">
        <is>
          <t>Penalità</t>
        </is>
      </c>
      <c r="B10" s="68" t="n">
        <v>-0.05</v>
      </c>
      <c r="C10" t="inlineStr">
        <is>
          <t>Euforia, concentrazione, rischio moda</t>
        </is>
      </c>
      <c r="D10" t="inlineStr">
        <is>
          <t>0/-5/-10/-15</t>
        </is>
      </c>
      <c r="E10" t="inlineStr">
        <is>
          <t>Più negativa = più rischio</t>
        </is>
      </c>
      <c r="F10" t="inlineStr">
        <is>
          <t>Evita bolle e crowded trade</t>
        </is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37" t="inlineStr">
        <is>
          <t>Scenario macro/geopolitico - input qualitativi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28" t="inlineStr">
        <is>
          <t>Fattore</t>
        </is>
      </c>
      <c r="B3" s="28" t="inlineStr">
        <is>
          <t>Stato attuale</t>
        </is>
      </c>
      <c r="C3" s="28" t="inlineStr">
        <is>
          <t>Impatto</t>
        </is>
      </c>
      <c r="D3" s="28" t="inlineStr">
        <is>
          <t>Asset/temi favoriti</t>
        </is>
      </c>
      <c r="E3" s="28" t="inlineStr">
        <is>
          <t>Asset/temi penalizzati</t>
        </is>
      </c>
      <c r="F3" s="28" t="inlineStr">
        <is>
          <t>Punteggio</t>
        </is>
      </c>
      <c r="G3" s="28" t="inlineStr">
        <is>
          <t>Fonte</t>
        </is>
      </c>
      <c r="H3" s="28" t="inlineStr">
        <is>
          <t>Note</t>
        </is>
      </c>
    </row>
    <row r="4">
      <c r="A4" t="inlineStr">
        <is>
          <t>Tassi di interesse</t>
        </is>
      </c>
      <c r="B4" t="inlineStr">
        <is>
          <t>Da aggiornare</t>
        </is>
      </c>
      <c r="C4" t="inlineStr">
        <is>
          <t>Neutrale</t>
        </is>
      </c>
      <c r="D4" t="inlineStr">
        <is>
          <t>Money market, bond short duration</t>
        </is>
      </c>
      <c r="E4" t="inlineStr">
        <is>
          <t>Growth long duration</t>
        </is>
      </c>
      <c r="F4" s="69" t="n">
        <v>0</v>
      </c>
    </row>
    <row r="5">
      <c r="A5" t="inlineStr">
        <is>
          <t>Inflazione</t>
        </is>
      </c>
      <c r="B5" t="inlineStr">
        <is>
          <t>Da aggiornare</t>
        </is>
      </c>
      <c r="C5" t="inlineStr">
        <is>
          <t>Neutrale</t>
        </is>
      </c>
      <c r="D5" t="inlineStr">
        <is>
          <t>Gold, inflation linked</t>
        </is>
      </c>
      <c r="E5" t="inlineStr">
        <is>
          <t>Bond lunga durata</t>
        </is>
      </c>
      <c r="F5" s="69" t="n">
        <v>0</v>
      </c>
    </row>
    <row r="6">
      <c r="A6" t="inlineStr">
        <is>
          <t>Ciclo economico</t>
        </is>
      </c>
      <c r="B6" t="inlineStr">
        <is>
          <t>Da aggiornare</t>
        </is>
      </c>
      <c r="C6" t="inlineStr">
        <is>
          <t>Neutrale</t>
        </is>
      </c>
      <c r="D6" t="inlineStr">
        <is>
          <t>Quality, defensive</t>
        </is>
      </c>
      <c r="E6" t="inlineStr">
        <is>
          <t>Small cap cicliche</t>
        </is>
      </c>
      <c r="F6" s="69" t="n">
        <v>0</v>
      </c>
    </row>
    <row r="7">
      <c r="A7" t="inlineStr">
        <is>
          <t>AI / semiconduttori</t>
        </is>
      </c>
      <c r="B7" t="inlineStr">
        <is>
          <t>Da aggiornare</t>
        </is>
      </c>
      <c r="C7" t="inlineStr">
        <is>
          <t>Neutrale</t>
        </is>
      </c>
      <c r="D7" t="inlineStr">
        <is>
          <t>AI, semiconductor, Nasdaq</t>
        </is>
      </c>
      <c r="E7" t="inlineStr">
        <is>
          <t>Settori value tradizionali</t>
        </is>
      </c>
      <c r="F7" s="69" t="n">
        <v>0</v>
      </c>
      <c r="H7" t="inlineStr">
        <is>
          <t>Controllare rischio concentrazione</t>
        </is>
      </c>
    </row>
    <row r="8">
      <c r="A8" t="inlineStr">
        <is>
          <t>Geopolitica difesa</t>
        </is>
      </c>
      <c r="B8" t="inlineStr">
        <is>
          <t>Da aggiornare</t>
        </is>
      </c>
      <c r="C8" t="inlineStr">
        <is>
          <t>Neutrale</t>
        </is>
      </c>
      <c r="D8" t="inlineStr">
        <is>
          <t>Defence, cyber, gold</t>
        </is>
      </c>
      <c r="E8" t="inlineStr">
        <is>
          <t>Emerging sensibili</t>
        </is>
      </c>
      <c r="F8" s="69" t="n">
        <v>0</v>
      </c>
    </row>
    <row r="9">
      <c r="A9" t="inlineStr">
        <is>
          <t>USA/Cina/Taiwan</t>
        </is>
      </c>
      <c r="B9" t="inlineStr">
        <is>
          <t>Da aggiornare</t>
        </is>
      </c>
      <c r="C9" t="inlineStr">
        <is>
          <t>Neutrale</t>
        </is>
      </c>
      <c r="D9" t="inlineStr">
        <is>
          <t>Diversificazione globale</t>
        </is>
      </c>
      <c r="E9" t="inlineStr">
        <is>
          <t>Semiconduttori concentrati</t>
        </is>
      </c>
      <c r="F9" s="69" t="n">
        <v>0</v>
      </c>
    </row>
    <row r="10">
      <c r="A10" t="inlineStr">
        <is>
          <t>Energia/commodities</t>
        </is>
      </c>
      <c r="B10" t="inlineStr">
        <is>
          <t>Da aggiornare</t>
        </is>
      </c>
      <c r="C10" t="inlineStr">
        <is>
          <t>Neutrale</t>
        </is>
      </c>
      <c r="D10" t="inlineStr">
        <is>
          <t>Energy, commodities</t>
        </is>
      </c>
      <c r="E10" t="inlineStr">
        <is>
          <t>Settori energivori</t>
        </is>
      </c>
      <c r="F10" s="69" t="n">
        <v>0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Ticker</t>
        </is>
      </c>
      <c r="B1" s="75" t="inlineStr">
        <is>
          <t>ISIN</t>
        </is>
      </c>
      <c r="C1" s="75" t="inlineStr">
        <is>
          <t>Nome ETF</t>
        </is>
      </c>
      <c r="D1" s="75" t="inlineStr">
        <is>
          <t>Categoria</t>
        </is>
      </c>
      <c r="E1" s="75" t="inlineStr">
        <is>
          <t>Classe Asset</t>
        </is>
      </c>
      <c r="F1" s="75" t="inlineStr">
        <is>
          <t>Tema/Area</t>
        </is>
      </c>
      <c r="G1" s="75" t="inlineStr">
        <is>
          <t>Benchmark</t>
        </is>
      </c>
      <c r="H1" s="75" t="inlineStr">
        <is>
          <t>Valuta</t>
        </is>
      </c>
      <c r="I1" s="75" t="inlineStr">
        <is>
          <t>Replica</t>
        </is>
      </c>
      <c r="J1" s="75" t="inlineStr">
        <is>
          <t>Distribuzione</t>
        </is>
      </c>
      <c r="K1" s="75" t="inlineStr">
        <is>
          <t>TER %</t>
        </is>
      </c>
      <c r="L1" s="75" t="inlineStr">
        <is>
          <t>AUM mln</t>
        </is>
      </c>
      <c r="M1" s="75" t="inlineStr">
        <is>
          <t>Volume medio</t>
        </is>
      </c>
      <c r="N1" s="75" t="inlineStr">
        <is>
          <t>Data lancio</t>
        </is>
      </c>
      <c r="O1" s="75" t="inlineStr">
        <is>
          <t>Anni storico</t>
        </is>
      </c>
      <c r="P1" s="75" t="inlineStr">
        <is>
          <t>Prezzo</t>
        </is>
      </c>
      <c r="Q1" s="75" t="inlineStr">
        <is>
          <t>MA50</t>
        </is>
      </c>
      <c r="R1" s="75" t="inlineStr">
        <is>
          <t>MA200</t>
        </is>
      </c>
      <c r="S1" s="75" t="inlineStr">
        <is>
          <t>Trend OK</t>
        </is>
      </c>
      <c r="T1" s="75" t="inlineStr">
        <is>
          <t>Rendimento 1M %</t>
        </is>
      </c>
      <c r="U1" s="75" t="inlineStr">
        <is>
          <t>Rendimento 3M %</t>
        </is>
      </c>
      <c r="V1" s="75" t="inlineStr">
        <is>
          <t>Rendimento 6M %</t>
        </is>
      </c>
      <c r="W1" s="75" t="inlineStr">
        <is>
          <t>Rendimento 12M %</t>
        </is>
      </c>
      <c r="X1" s="75" t="inlineStr">
        <is>
          <t>CAGR storico %</t>
        </is>
      </c>
      <c r="Y1" s="75" t="inlineStr">
        <is>
          <t>Volatilità %</t>
        </is>
      </c>
      <c r="Z1" s="75" t="inlineStr">
        <is>
          <t>Max Drawdown %</t>
        </is>
      </c>
      <c r="AA1" s="75" t="inlineStr">
        <is>
          <t>Sharpe</t>
        </is>
      </c>
      <c r="AB1" s="75" t="inlineStr">
        <is>
          <t>Momentum Score</t>
        </is>
      </c>
      <c r="AC1" s="75" t="inlineStr">
        <is>
          <t>Storico Score</t>
        </is>
      </c>
      <c r="AD1" s="75" t="inlineStr">
        <is>
          <t>Risk Score</t>
        </is>
      </c>
      <c r="AE1" s="75" t="inlineStr">
        <is>
          <t>Qualità ETF Score</t>
        </is>
      </c>
      <c r="AF1" s="75" t="inlineStr">
        <is>
          <t>Tema Score</t>
        </is>
      </c>
      <c r="AG1" s="75" t="inlineStr">
        <is>
          <t>Macro Score</t>
        </is>
      </c>
      <c r="AH1" s="75" t="inlineStr">
        <is>
          <t>Penalità</t>
        </is>
      </c>
      <c r="AI1" s="75" t="inlineStr">
        <is>
          <t>Score Finale</t>
        </is>
      </c>
      <c r="AJ1" s="75" t="inlineStr">
        <is>
          <t>Stato</t>
        </is>
      </c>
      <c r="AK1" s="75" t="inlineStr">
        <is>
          <t>Note AI</t>
        </is>
      </c>
      <c r="AL1" s="75" t="inlineStr">
        <is>
          <t>Fonte dati</t>
        </is>
      </c>
    </row>
    <row r="2">
      <c r="A2" t="inlineStr">
        <is>
          <t>VWCE.MI</t>
        </is>
      </c>
      <c r="B2" t="inlineStr"/>
      <c r="C2" t="inlineStr">
        <is>
          <t>Vanguard FTSE All-World UCITS ETF</t>
        </is>
      </c>
      <c r="D2" t="inlineStr">
        <is>
          <t>Core</t>
        </is>
      </c>
      <c r="E2" t="inlineStr"/>
      <c r="F2" t="inlineStr">
        <is>
          <t>Global Equity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SWDA.MI</t>
        </is>
      </c>
      <c r="B3" t="inlineStr"/>
      <c r="C3" t="inlineStr">
        <is>
          <t>iShares Core MSCI World UCITS ETF</t>
        </is>
      </c>
      <c r="D3" t="inlineStr">
        <is>
          <t>Core</t>
        </is>
      </c>
      <c r="E3" t="inlineStr"/>
      <c r="F3" t="inlineStr">
        <is>
          <t>Global Equity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VUAA.MI</t>
        </is>
      </c>
      <c r="B4" t="inlineStr"/>
      <c r="C4" t="inlineStr">
        <is>
          <t>Vanguard S&amp;P 500 UCITS ETF</t>
        </is>
      </c>
      <c r="D4" t="inlineStr">
        <is>
          <t>Core</t>
        </is>
      </c>
      <c r="E4" t="inlineStr"/>
      <c r="F4" t="inlineStr">
        <is>
          <t>USA Large Cap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EQQQ.MI</t>
        </is>
      </c>
      <c r="B5" t="inlineStr"/>
      <c r="C5" t="inlineStr">
        <is>
          <t>Invesco Nasdaq-100 UCITS ETF</t>
        </is>
      </c>
      <c r="D5" t="inlineStr">
        <is>
          <t>Core</t>
        </is>
      </c>
      <c r="E5" t="inlineStr"/>
      <c r="F5" t="inlineStr">
        <is>
          <t>Nasdaq / Tech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EXSA.MI</t>
        </is>
      </c>
      <c r="B6" t="inlineStr"/>
      <c r="C6" t="inlineStr">
        <is>
          <t>iShares STOXX Europe 600 UCITS ETF</t>
        </is>
      </c>
      <c r="D6" t="inlineStr">
        <is>
          <t>Core</t>
        </is>
      </c>
      <c r="E6" t="inlineStr"/>
      <c r="F6" t="inlineStr">
        <is>
          <t>Europe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EIMI.MI</t>
        </is>
      </c>
      <c r="B7" t="inlineStr"/>
      <c r="C7" t="inlineStr">
        <is>
          <t>iShares Core MSCI Emerging Markets IMI UCITS ETF</t>
        </is>
      </c>
      <c r="D7" t="inlineStr">
        <is>
          <t>Core</t>
        </is>
      </c>
      <c r="E7" t="inlineStr"/>
      <c r="F7" t="inlineStr">
        <is>
          <t>Emerging Markets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AGGH.MI</t>
        </is>
      </c>
      <c r="B8" t="inlineStr"/>
      <c r="C8" t="inlineStr">
        <is>
          <t>iShares Core Global Aggregate Bond UCITS ETF</t>
        </is>
      </c>
      <c r="D8" t="inlineStr">
        <is>
          <t>Defensive</t>
        </is>
      </c>
      <c r="E8" t="inlineStr"/>
      <c r="F8" t="inlineStr">
        <is>
          <t>Global Bonds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VAGF.MI</t>
        </is>
      </c>
      <c r="B9" t="inlineStr"/>
      <c r="C9" t="inlineStr">
        <is>
          <t>Vanguard Global Aggregate Bond UCITS ETF</t>
        </is>
      </c>
      <c r="D9" t="inlineStr">
        <is>
          <t>Defensive</t>
        </is>
      </c>
      <c r="E9" t="inlineStr"/>
      <c r="F9" t="inlineStr">
        <is>
          <t>Global Bonds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SGLD.MI</t>
        </is>
      </c>
      <c r="B10" t="inlineStr"/>
      <c r="C10" t="inlineStr">
        <is>
          <t>Invesco Physical Gold ETC</t>
        </is>
      </c>
      <c r="D10" t="inlineStr">
        <is>
          <t>Defensive</t>
        </is>
      </c>
      <c r="E10" t="inlineStr"/>
      <c r="F10" t="inlineStr">
        <is>
          <t>Gold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IWQU.MI</t>
        </is>
      </c>
      <c r="B11" t="inlineStr"/>
      <c r="C11" t="inlineStr">
        <is>
          <t>iShares MSCI World Quality Factor UCITS ETF</t>
        </is>
      </c>
      <c r="D11" t="inlineStr">
        <is>
          <t>Factor</t>
        </is>
      </c>
      <c r="E11" t="inlineStr"/>
      <c r="F11" t="inlineStr">
        <is>
          <t>Quality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IWMO.MI</t>
        </is>
      </c>
      <c r="B12" t="inlineStr"/>
      <c r="C12" t="inlineStr">
        <is>
          <t>iShares MSCI World Momentum Factor UCITS ETF</t>
        </is>
      </c>
      <c r="D12" t="inlineStr">
        <is>
          <t>Factor</t>
        </is>
      </c>
      <c r="E12" t="inlineStr"/>
      <c r="F12" t="inlineStr">
        <is>
          <t>Momentum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XDEV.MI</t>
        </is>
      </c>
      <c r="B13" t="inlineStr"/>
      <c r="C13" t="inlineStr">
        <is>
          <t>Xtrackers MSCI World Value UCITS ETF</t>
        </is>
      </c>
      <c r="D13" t="inlineStr">
        <is>
          <t>Factor</t>
        </is>
      </c>
      <c r="E13" t="inlineStr"/>
      <c r="F13" t="inlineStr">
        <is>
          <t>Value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MVOL.MI</t>
        </is>
      </c>
      <c r="B14" t="inlineStr"/>
      <c r="C14" t="inlineStr">
        <is>
          <t>iShares Edge MSCI World Minimum Volatility UCITS ETF</t>
        </is>
      </c>
      <c r="D14" t="inlineStr">
        <is>
          <t>Factor</t>
        </is>
      </c>
      <c r="E14" t="inlineStr"/>
      <c r="F14" t="inlineStr">
        <is>
          <t>Low Volatility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WTAI.MI</t>
        </is>
      </c>
      <c r="B15" t="inlineStr"/>
      <c r="C15" t="inlineStr">
        <is>
          <t>WisdomTree Artificial Intelligence UCITS ETF</t>
        </is>
      </c>
      <c r="D15" t="inlineStr">
        <is>
          <t>Thematic</t>
        </is>
      </c>
      <c r="E15" t="inlineStr"/>
      <c r="F15" t="inlineStr">
        <is>
          <t>Artificial Intelligence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XAIX.MI</t>
        </is>
      </c>
      <c r="B16" t="inlineStr"/>
      <c r="C16" t="inlineStr">
        <is>
          <t>Xtrackers Artificial Intelligence &amp; Big Data UCITS ETF</t>
        </is>
      </c>
      <c r="D16" t="inlineStr">
        <is>
          <t>Thematic</t>
        </is>
      </c>
      <c r="E16" t="inlineStr"/>
      <c r="F16" t="inlineStr">
        <is>
          <t>Artificial Intelligence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SMH.MI</t>
        </is>
      </c>
      <c r="B17" t="inlineStr"/>
      <c r="C17" t="inlineStr">
        <is>
          <t>VanEck Semiconductor UCITS ETF</t>
        </is>
      </c>
      <c r="D17" t="inlineStr">
        <is>
          <t>Thematic</t>
        </is>
      </c>
      <c r="E17" t="inlineStr"/>
      <c r="F17" t="inlineStr">
        <is>
          <t>Semiconductors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ISPY.MI</t>
        </is>
      </c>
      <c r="B18" t="inlineStr"/>
      <c r="C18" t="inlineStr">
        <is>
          <t>L&amp;G Cyber Security UCITS ETF</t>
        </is>
      </c>
      <c r="D18" t="inlineStr">
        <is>
          <t>Thematic</t>
        </is>
      </c>
      <c r="E18" t="inlineStr"/>
      <c r="F18" t="inlineStr">
        <is>
          <t>Cybersecurity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RBOT.MI</t>
        </is>
      </c>
      <c r="B19" t="inlineStr"/>
      <c r="C19" t="inlineStr">
        <is>
          <t>iShares Automation &amp; Robotics UCITS ETF</t>
        </is>
      </c>
      <c r="D19" t="inlineStr">
        <is>
          <t>Thematic</t>
        </is>
      </c>
      <c r="E19" t="inlineStr"/>
      <c r="F19" t="inlineStr">
        <is>
          <t>Robotics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DFNS.MI</t>
        </is>
      </c>
      <c r="B20" t="inlineStr"/>
      <c r="C20" t="inlineStr">
        <is>
          <t>VanEck Defense UCITS ETF</t>
        </is>
      </c>
      <c r="D20" t="inlineStr">
        <is>
          <t>Thematic</t>
        </is>
      </c>
      <c r="E20" t="inlineStr"/>
      <c r="F20" t="inlineStr">
        <is>
          <t>Defense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FGQI.MI</t>
        </is>
      </c>
      <c r="B21" t="inlineStr"/>
      <c r="C21" t="inlineStr">
        <is>
          <t>Fidelity Global Quality Income UCITS ETF</t>
        </is>
      </c>
      <c r="D21" t="inlineStr">
        <is>
          <t>Satellite</t>
        </is>
      </c>
      <c r="E21" t="inlineStr"/>
      <c r="F21" t="inlineStr">
        <is>
          <t>Quality Dividend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18" customWidth="1" min="4" max="4"/>
    <col width="18" customWidth="1" min="5" max="5"/>
    <col width="18" customWidth="1" min="6" max="6"/>
    <col width="18" customWidth="1" min="7" max="7"/>
    <col width="38" customWidth="1" min="8" max="8"/>
  </cols>
  <sheetData>
    <row r="1">
      <c r="A1" s="37" t="inlineStr">
        <is>
          <t>Report giornaliero - ETF Intelligence Agent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28" t="inlineStr">
        <is>
          <t>Data report</t>
        </is>
      </c>
      <c r="B3" s="72" t="n">
        <v>46166.95040945602</v>
      </c>
    </row>
    <row r="4">
      <c r="A4" s="28" t="inlineStr">
        <is>
          <t>Scenario mercato</t>
        </is>
      </c>
      <c r="B4" s="49" t="inlineStr">
        <is>
          <t>Da aggiornare</t>
        </is>
      </c>
    </row>
    <row r="5">
      <c r="A5" s="28" t="inlineStr">
        <is>
          <t>Rischio generale</t>
        </is>
      </c>
      <c r="B5" s="49" t="inlineStr">
        <is>
          <t>Basso / Medio / Alto</t>
        </is>
      </c>
    </row>
    <row r="6">
      <c r="A6" s="28" t="inlineStr">
        <is>
          <t>Bias operativo</t>
        </is>
      </c>
      <c r="B6" s="49" t="inlineStr">
        <is>
          <t>Core / Thematic / Defensive / Cash</t>
        </is>
      </c>
    </row>
    <row r="7">
      <c r="A7" s="28" t="inlineStr">
        <is>
          <t>Nota</t>
        </is>
      </c>
      <c r="B7" s="49" t="inlineStr">
        <is>
          <t>Il report produce shortlist, non raccomandazioni personalizzate.</t>
        </is>
      </c>
    </row>
    <row r="10">
      <c r="A10" s="17" t="inlineStr">
        <is>
          <t>Top 10 ETF assoluti</t>
        </is>
      </c>
      <c r="B10" s="1" t="n"/>
      <c r="C10" s="1" t="n"/>
      <c r="D10" s="1" t="n"/>
      <c r="E10" s="1" t="n"/>
      <c r="F10" s="1" t="n"/>
      <c r="G10" s="1" t="n"/>
      <c r="H10" s="1" t="n"/>
    </row>
    <row r="11">
      <c r="A11" s="28" t="inlineStr">
        <is>
          <t>Rank</t>
        </is>
      </c>
      <c r="B11" s="28" t="inlineStr">
        <is>
          <t>Ticker</t>
        </is>
      </c>
      <c r="C11" s="28" t="inlineStr">
        <is>
          <t>Nome ETF</t>
        </is>
      </c>
      <c r="D11" s="28" t="inlineStr">
        <is>
          <t>Categoria</t>
        </is>
      </c>
      <c r="E11" s="28" t="inlineStr">
        <is>
          <t>Tema</t>
        </is>
      </c>
      <c r="F11" s="28" t="inlineStr">
        <is>
          <t>Score</t>
        </is>
      </c>
      <c r="G11" s="28" t="inlineStr">
        <is>
          <t>Stato</t>
        </is>
      </c>
      <c r="H11" s="28" t="inlineStr">
        <is>
          <t>Note AI</t>
        </is>
      </c>
    </row>
    <row r="12">
      <c r="A12">
        <f t="array" ref="A12:A21">SEQUENCE(10)</f>
        <v/>
      </c>
      <c r="B12">
        <f>IFERROR(INDEX(SORTBY(FILTER(ETF_Master!A:AK,ETF_Master!AI:AI&lt;&gt;""),FILTER(ETF_Master!AI:AI,ETF_Master!AI:AI&lt;&gt;""),-1),ROW(A1),{1,3,4,6,35,36,37}),"")</f>
        <v/>
      </c>
    </row>
    <row r="13">
      <c r="A13" t="n">
        <v>2</v>
      </c>
      <c r="B13">
        <f>IFERROR(INDEX(SORTBY(FILTER(ETF_Master!A:AK,ETF_Master!AI:AI&lt;&gt;""),FILTER(ETF_Master!AI:AI,ETF_Master!AI:AI&lt;&gt;""),-1),ROW(A1),{1,3,4,6,35,36,37}),"")</f>
        <v/>
      </c>
    </row>
    <row r="14">
      <c r="A14" t="n">
        <v>3</v>
      </c>
      <c r="B14">
        <f>IFERROR(INDEX(SORTBY(FILTER(ETF_Master!A:AK,ETF_Master!AI:AI&lt;&gt;""),FILTER(ETF_Master!AI:AI,ETF_Master!AI:AI&lt;&gt;""),-1),ROW(A1),{1,3,4,6,35,36,37}),"")</f>
        <v/>
      </c>
    </row>
    <row r="15">
      <c r="A15" t="n">
        <v>4</v>
      </c>
      <c r="B15">
        <f>IFERROR(INDEX(SORTBY(FILTER(ETF_Master!A:AK,ETF_Master!AI:AI&lt;&gt;""),FILTER(ETF_Master!AI:AI,ETF_Master!AI:AI&lt;&gt;""),-1),ROW(A1),{1,3,4,6,35,36,37}),"")</f>
        <v/>
      </c>
    </row>
    <row r="16">
      <c r="A16" t="n">
        <v>5</v>
      </c>
      <c r="B16">
        <f>IFERROR(INDEX(SORTBY(FILTER(ETF_Master!A:AK,ETF_Master!AI:AI&lt;&gt;""),FILTER(ETF_Master!AI:AI,ETF_Master!AI:AI&lt;&gt;""),-1),ROW(A1),{1,3,4,6,35,36,37}),"")</f>
        <v/>
      </c>
    </row>
    <row r="17">
      <c r="A17" t="n">
        <v>6</v>
      </c>
      <c r="B17">
        <f>IFERROR(INDEX(SORTBY(FILTER(ETF_Master!A:AK,ETF_Master!AI:AI&lt;&gt;""),FILTER(ETF_Master!AI:AI,ETF_Master!AI:AI&lt;&gt;""),-1),ROW(A1),{1,3,4,6,35,36,37}),"")</f>
        <v/>
      </c>
    </row>
    <row r="18">
      <c r="A18" t="n">
        <v>7</v>
      </c>
      <c r="B18">
        <f>IFERROR(INDEX(SORTBY(FILTER(ETF_Master!A:AK,ETF_Master!AI:AI&lt;&gt;""),FILTER(ETF_Master!AI:AI,ETF_Master!AI:AI&lt;&gt;""),-1),ROW(A1),{1,3,4,6,35,36,37}),"")</f>
        <v/>
      </c>
    </row>
    <row r="19">
      <c r="A19" t="n">
        <v>8</v>
      </c>
      <c r="B19">
        <f>IFERROR(INDEX(SORTBY(FILTER(ETF_Master!A:AK,ETF_Master!AI:AI&lt;&gt;""),FILTER(ETF_Master!AI:AI,ETF_Master!AI:AI&lt;&gt;""),-1),ROW(A1),{1,3,4,6,35,36,37}),"")</f>
        <v/>
      </c>
    </row>
    <row r="20">
      <c r="A20" t="n">
        <v>9</v>
      </c>
      <c r="B20">
        <f>IFERROR(INDEX(SORTBY(FILTER(ETF_Master!A:AK,ETF_Master!AI:AI&lt;&gt;""),FILTER(ETF_Master!AI:AI,ETF_Master!AI:AI&lt;&gt;""),-1),ROW(A1),{1,3,4,6,35,36,37}),"")</f>
        <v/>
      </c>
    </row>
    <row r="21">
      <c r="A21" t="n">
        <v>10</v>
      </c>
      <c r="B21">
        <f>IFERROR(INDEX(SORTBY(FILTER(ETF_Master!A:AK,ETF_Master!AI:AI&lt;&gt;""),FILTER(ETF_Master!AI:AI,ETF_Master!AI:AI&lt;&gt;""),-1),ROW(A1),{1,3,4,6,35,36,37}),"")</f>
        <v/>
      </c>
    </row>
    <row r="23">
      <c r="A23" s="17" t="inlineStr">
        <is>
          <t>Top 5 Core</t>
        </is>
      </c>
      <c r="B23" s="1" t="n"/>
      <c r="C23" s="1" t="n"/>
      <c r="D23" s="1" t="n"/>
      <c r="E23" s="1" t="n"/>
      <c r="F23" s="1" t="n"/>
      <c r="G23" s="1" t="n"/>
      <c r="H23" s="1" t="n"/>
    </row>
    <row r="24">
      <c r="A24" s="28" t="inlineStr">
        <is>
          <t>Rank</t>
        </is>
      </c>
      <c r="B24" s="28" t="inlineStr">
        <is>
          <t>Ticker</t>
        </is>
      </c>
      <c r="C24" s="28" t="inlineStr">
        <is>
          <t>Nome ETF</t>
        </is>
      </c>
      <c r="D24" s="28" t="inlineStr">
        <is>
          <t>Categoria</t>
        </is>
      </c>
      <c r="E24" s="28" t="inlineStr">
        <is>
          <t>Tema</t>
        </is>
      </c>
      <c r="F24" s="28" t="inlineStr">
        <is>
          <t>Score</t>
        </is>
      </c>
      <c r="G24" s="28" t="inlineStr">
        <is>
          <t>Stato</t>
        </is>
      </c>
      <c r="H24" s="28" t="inlineStr">
        <is>
          <t>Note AI</t>
        </is>
      </c>
    </row>
    <row r="25">
      <c r="A25">
        <f t="array" ref="A25:A29">SEQUENCE(5)</f>
        <v/>
      </c>
      <c r="B25">
        <f>IFERROR(INDEX(SORTBY(FILTER(ETF_Master!A:AK,ETF_Master!D:D="Core"),FILTER(ETF_Master!AI:AI,ETF_Master!D:D="Core"),-1),ROW(A1),{1,3,4,6,35,36,37}),"")</f>
        <v/>
      </c>
    </row>
    <row r="26">
      <c r="A26" t="n">
        <v>2</v>
      </c>
      <c r="B26">
        <f>IFERROR(INDEX(SORTBY(FILTER(ETF_Master!A:AK,ETF_Master!D:D="Core"),FILTER(ETF_Master!AI:AI,ETF_Master!D:D="Core"),-1),ROW(A1),{1,3,4,6,35,36,37}),"")</f>
        <v/>
      </c>
    </row>
    <row r="27">
      <c r="A27" t="n">
        <v>3</v>
      </c>
      <c r="B27">
        <f>IFERROR(INDEX(SORTBY(FILTER(ETF_Master!A:AK,ETF_Master!D:D="Core"),FILTER(ETF_Master!AI:AI,ETF_Master!D:D="Core"),-1),ROW(A1),{1,3,4,6,35,36,37}),"")</f>
        <v/>
      </c>
    </row>
    <row r="28">
      <c r="A28" t="n">
        <v>4</v>
      </c>
      <c r="B28">
        <f>IFERROR(INDEX(SORTBY(FILTER(ETF_Master!A:AK,ETF_Master!D:D="Core"),FILTER(ETF_Master!AI:AI,ETF_Master!D:D="Core"),-1),ROW(A1),{1,3,4,6,35,36,37}),"")</f>
        <v/>
      </c>
    </row>
    <row r="29">
      <c r="A29" t="n">
        <v>5</v>
      </c>
      <c r="B29">
        <f>IFERROR(INDEX(SORTBY(FILTER(ETF_Master!A:AK,ETF_Master!D:D="Core"),FILTER(ETF_Master!AI:AI,ETF_Master!D:D="Core"),-1),ROW(A1),{1,3,4,6,35,36,37}),"")</f>
        <v/>
      </c>
    </row>
    <row r="32">
      <c r="A32" s="17" t="inlineStr">
        <is>
          <t>Top 5 Tematici</t>
        </is>
      </c>
      <c r="B32" s="1" t="n"/>
      <c r="C32" s="1" t="n"/>
      <c r="D32" s="1" t="n"/>
      <c r="E32" s="1" t="n"/>
      <c r="F32" s="1" t="n"/>
      <c r="G32" s="1" t="n"/>
      <c r="H32" s="1" t="n"/>
    </row>
    <row r="33">
      <c r="A33" s="28" t="inlineStr">
        <is>
          <t>Rank</t>
        </is>
      </c>
      <c r="B33" s="28" t="inlineStr">
        <is>
          <t>Ticker</t>
        </is>
      </c>
      <c r="C33" s="28" t="inlineStr">
        <is>
          <t>Nome ETF</t>
        </is>
      </c>
      <c r="D33" s="28" t="inlineStr">
        <is>
          <t>Categoria</t>
        </is>
      </c>
      <c r="E33" s="28" t="inlineStr">
        <is>
          <t>Tema</t>
        </is>
      </c>
      <c r="F33" s="28" t="inlineStr">
        <is>
          <t>Score</t>
        </is>
      </c>
      <c r="G33" s="28" t="inlineStr">
        <is>
          <t>Stato</t>
        </is>
      </c>
      <c r="H33" s="28" t="inlineStr">
        <is>
          <t>Note AI</t>
        </is>
      </c>
    </row>
    <row r="34">
      <c r="A34">
        <f t="array" ref="A34:A38">SEQUENCE(5)</f>
        <v/>
      </c>
      <c r="B34">
        <f>IFERROR(INDEX(SORTBY(FILTER(ETF_Master!A:AK,ETF_Master!D:D="Thematic Growth"),FILTER(ETF_Master!AI:AI,ETF_Master!D:D="Thematic Growth"),-1),ROW(A1),{1,3,4,6,35,36,37}),"")</f>
        <v/>
      </c>
    </row>
    <row r="35">
      <c r="A35" t="n">
        <v>2</v>
      </c>
      <c r="B35">
        <f>IFERROR(INDEX(SORTBY(FILTER(ETF_Master!A:AK,ETF_Master!D:D="Thematic Growth"),FILTER(ETF_Master!AI:AI,ETF_Master!D:D="Thematic Growth"),-1),ROW(A1),{1,3,4,6,35,36,37}),"")</f>
        <v/>
      </c>
    </row>
    <row r="36">
      <c r="A36" t="n">
        <v>3</v>
      </c>
      <c r="B36">
        <f>IFERROR(INDEX(SORTBY(FILTER(ETF_Master!A:AK,ETF_Master!D:D="Thematic Growth"),FILTER(ETF_Master!AI:AI,ETF_Master!D:D="Thematic Growth"),-1),ROW(A1),{1,3,4,6,35,36,37}),"")</f>
        <v/>
      </c>
    </row>
    <row r="37">
      <c r="A37" t="n">
        <v>4</v>
      </c>
      <c r="B37">
        <f>IFERROR(INDEX(SORTBY(FILTER(ETF_Master!A:AK,ETF_Master!D:D="Thematic Growth"),FILTER(ETF_Master!AI:AI,ETF_Master!D:D="Thematic Growth"),-1),ROW(A1),{1,3,4,6,35,36,37}),"")</f>
        <v/>
      </c>
    </row>
    <row r="38">
      <c r="A38" t="n">
        <v>5</v>
      </c>
      <c r="B38">
        <f>IFERROR(INDEX(SORTBY(FILTER(ETF_Master!A:AK,ETF_Master!D:D="Thematic Growth"),FILTER(ETF_Master!AI:AI,ETF_Master!D:D="Thematic Growth"),-1),ROW(A1),{1,3,4,6,35,36,37}),"")</f>
        <v/>
      </c>
    </row>
    <row r="41">
      <c r="A41" s="17" t="inlineStr">
        <is>
          <t>Top 5 Difensivi</t>
        </is>
      </c>
      <c r="B41" s="1" t="n"/>
      <c r="C41" s="1" t="n"/>
      <c r="D41" s="1" t="n"/>
      <c r="E41" s="1" t="n"/>
      <c r="F41" s="1" t="n"/>
      <c r="G41" s="1" t="n"/>
      <c r="H41" s="1" t="n"/>
    </row>
    <row r="42">
      <c r="A42" s="28" t="inlineStr">
        <is>
          <t>Rank</t>
        </is>
      </c>
      <c r="B42" s="28" t="inlineStr">
        <is>
          <t>Ticker</t>
        </is>
      </c>
      <c r="C42" s="28" t="inlineStr">
        <is>
          <t>Nome ETF</t>
        </is>
      </c>
      <c r="D42" s="28" t="inlineStr">
        <is>
          <t>Categoria</t>
        </is>
      </c>
      <c r="E42" s="28" t="inlineStr">
        <is>
          <t>Tema</t>
        </is>
      </c>
      <c r="F42" s="28" t="inlineStr">
        <is>
          <t>Score</t>
        </is>
      </c>
      <c r="G42" s="28" t="inlineStr">
        <is>
          <t>Stato</t>
        </is>
      </c>
      <c r="H42" s="28" t="inlineStr">
        <is>
          <t>Note AI</t>
        </is>
      </c>
    </row>
    <row r="43">
      <c r="A43">
        <f t="array" ref="A43:A47">SEQUENCE(5)</f>
        <v/>
      </c>
      <c r="B43">
        <f>IFERROR(INDEX(SORTBY(FILTER(ETF_Master!A:AK,ETF_Master!D:D="Defensive"),FILTER(ETF_Master!AI:AI,ETF_Master!D:D="Defensive"),-1),ROW(A1),{1,3,4,6,35,36,37}),"")</f>
        <v/>
      </c>
    </row>
    <row r="44">
      <c r="A44" t="n">
        <v>2</v>
      </c>
      <c r="B44">
        <f>IFERROR(INDEX(SORTBY(FILTER(ETF_Master!A:AK,ETF_Master!D:D="Defensive"),FILTER(ETF_Master!AI:AI,ETF_Master!D:D="Defensive"),-1),ROW(A1),{1,3,4,6,35,36,37}),"")</f>
        <v/>
      </c>
    </row>
    <row r="45">
      <c r="A45" t="n">
        <v>3</v>
      </c>
      <c r="B45">
        <f>IFERROR(INDEX(SORTBY(FILTER(ETF_Master!A:AK,ETF_Master!D:D="Defensive"),FILTER(ETF_Master!AI:AI,ETF_Master!D:D="Defensive"),-1),ROW(A1),{1,3,4,6,35,36,37}),"")</f>
        <v/>
      </c>
    </row>
    <row r="46">
      <c r="A46" t="n">
        <v>4</v>
      </c>
      <c r="B46">
        <f>IFERROR(INDEX(SORTBY(FILTER(ETF_Master!A:AK,ETF_Master!D:D="Defensive"),FILTER(ETF_Master!AI:AI,ETF_Master!D:D="Defensive"),-1),ROW(A1),{1,3,4,6,35,36,37}),"")</f>
        <v/>
      </c>
    </row>
    <row r="47">
      <c r="A47" t="n">
        <v>5</v>
      </c>
      <c r="B47">
        <f>IFERROR(INDEX(SORTBY(FILTER(ETF_Master!A:AK,ETF_Master!D:D="Defensive"),FILTER(ETF_Master!AI:AI,ETF_Master!D:D="Defensive"),-1),ROW(A1),{1,3,4,6,35,36,37}),"")</f>
        <v/>
      </c>
    </row>
    <row r="50">
      <c r="A50" s="17" t="inlineStr">
        <is>
          <t>Alert macro/geopolitici e note AI</t>
        </is>
      </c>
      <c r="B50" s="1" t="n"/>
      <c r="C50" s="1" t="n"/>
      <c r="D50" s="1" t="n"/>
      <c r="E50" s="1" t="n"/>
      <c r="F50" s="1" t="n"/>
      <c r="G50" s="1" t="n"/>
      <c r="H50" s="1" t="n"/>
    </row>
    <row r="51">
      <c r="A51" s="23" t="inlineStr">
        <is>
          <t>Inserire qui sintesi AI: scenario tassi/inflazione, rischi geopolitici, temi favoriti, temi sovraffollati, conclusione prudente.</t>
        </is>
      </c>
      <c r="B51" s="1" t="n"/>
      <c r="C51" s="1" t="n"/>
      <c r="D51" s="1" t="n"/>
      <c r="E51" s="1" t="n"/>
      <c r="F51" s="1" t="n"/>
      <c r="G51" s="1" t="n"/>
      <c r="H51" s="1" t="n"/>
    </row>
    <row r="52">
      <c r="A52" s="1" t="n"/>
      <c r="H52" s="1" t="n"/>
    </row>
    <row r="53">
      <c r="A53" s="1" t="n"/>
      <c r="H53" s="1" t="n"/>
    </row>
    <row r="54">
      <c r="A54" s="1" t="n"/>
      <c r="H54" s="1" t="n"/>
    </row>
    <row r="55">
      <c r="A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</sheetData>
  <mergeCells count="7">
    <mergeCell ref="A50:H50"/>
    <mergeCell ref="A51:H56"/>
    <mergeCell ref="A10:H10"/>
    <mergeCell ref="A41:H41"/>
    <mergeCell ref="A1:H1"/>
    <mergeCell ref="A23:H23"/>
    <mergeCell ref="A32:H3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8" t="inlineStr">
        <is>
          <t>Fonte</t>
        </is>
      </c>
      <c r="B1" s="28" t="inlineStr">
        <is>
          <t>Uso</t>
        </is>
      </c>
      <c r="C1" s="28" t="inlineStr">
        <is>
          <t>URL</t>
        </is>
      </c>
      <c r="D1" s="28" t="inlineStr">
        <is>
          <t>Note</t>
        </is>
      </c>
    </row>
    <row r="2">
      <c r="A2" t="inlineStr">
        <is>
          <t>Borsa Italiana ETFplus</t>
        </is>
      </c>
      <c r="B2" t="inlineStr">
        <is>
          <t>Elenco ETF, dati ufficiali</t>
        </is>
      </c>
      <c r="C2" t="inlineStr">
        <is>
          <t>https://www.borsaitaliana.it/etf/etf/home.htm</t>
        </is>
      </c>
      <c r="D2" t="inlineStr">
        <is>
          <t>Fonte ufficiale per universo italiano</t>
        </is>
      </c>
    </row>
    <row r="3">
      <c r="A3" t="inlineStr">
        <is>
          <t>justETF</t>
        </is>
      </c>
      <c r="B3" t="inlineStr">
        <is>
          <t>TER, replica, distribuzione, AUM</t>
        </is>
      </c>
      <c r="C3" t="inlineStr">
        <is>
          <t>https://www.justetf.com/it/</t>
        </is>
      </c>
      <c r="D3" t="inlineStr">
        <is>
          <t>Utile per dati ETF UCITS</t>
        </is>
      </c>
    </row>
    <row r="4">
      <c r="A4" t="inlineStr">
        <is>
          <t>Yahoo Finance / yfinance</t>
        </is>
      </c>
      <c r="B4" t="inlineStr">
        <is>
          <t>Prezzi storici prototipo</t>
        </is>
      </c>
      <c r="C4" t="inlineStr">
        <is>
          <t>https://finance.yahoo.com/</t>
        </is>
      </c>
      <c r="D4" t="inlineStr">
        <is>
          <t>Da verificare ticker e qualità dati</t>
        </is>
      </c>
    </row>
    <row r="5">
      <c r="A5" t="inlineStr">
        <is>
          <t>ECB</t>
        </is>
      </c>
      <c r="B5" t="inlineStr">
        <is>
          <t>Tassi e macro Eurozona</t>
        </is>
      </c>
      <c r="C5" t="inlineStr">
        <is>
          <t>https://www.ecb.europa.eu/</t>
        </is>
      </c>
      <c r="D5" t="inlineStr">
        <is>
          <t>Macro engine</t>
        </is>
      </c>
    </row>
    <row r="6">
      <c r="A6" t="inlineStr">
        <is>
          <t>FRED</t>
        </is>
      </c>
      <c r="B6" t="inlineStr">
        <is>
          <t>Dati macro USA</t>
        </is>
      </c>
      <c r="C6" t="inlineStr">
        <is>
          <t>https://fred.stlouisfed.org/</t>
        </is>
      </c>
      <c r="D6" t="inlineStr">
        <is>
          <t>Tassi, inflazione, spread</t>
        </is>
      </c>
    </row>
    <row r="7">
      <c r="A7" t="inlineStr">
        <is>
          <t>IMF</t>
        </is>
      </c>
      <c r="B7" t="inlineStr">
        <is>
          <t>Scenario macro globale</t>
        </is>
      </c>
      <c r="C7" t="inlineStr">
        <is>
          <t>https://www.imf.org/</t>
        </is>
      </c>
      <c r="D7" t="inlineStr">
        <is>
          <t>Contesto globale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2026-05-24T23:02:21Z</dcterms:created>
  <dcterms:modified xmlns:dcterms="http://purl.org/dc/terms/" xmlns:xsi="http://www.w3.org/2001/XMLSchema-instance" xsi:type="dcterms:W3CDTF">2026-05-24T23:40:05Z</dcterms:modified>
</cp:coreProperties>
</file>